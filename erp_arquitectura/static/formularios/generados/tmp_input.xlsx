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loreirl/Library/CloudStorage/GoogleDrive-lsalazarsalina@gmail.com/.shortcut-targets-by-id/1Bag9zlP7s6droRQvOcE3iww7Nr4mACLG/TERRAEM CHILE SPA  ONLINE/ARQUITECTURA/Cerrillos de Curacaví/CASA 01/"/>
    </mc:Choice>
  </mc:AlternateContent>
  <xr:revisionPtr revIDLastSave="0" documentId="13_ncr:1_{BF49CD21-31A6-044B-9EB7-D3778868A472}" xr6:coauthVersionLast="37" xr6:coauthVersionMax="47" xr10:uidLastSave="{00000000-0000-0000-0000-000000000000}"/>
  <bookViews>
    <workbookView xWindow="80" yWindow="660" windowWidth="23260" windowHeight="13900" activeTab="1" xr2:uid="{0C7FB53D-5875-44A4-B6DB-49371EB89D64}"/>
  </bookViews>
  <sheets>
    <sheet name="Hoja1" sheetId="1" r:id="rId1"/>
    <sheet name="Hoja2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2" l="1"/>
  <c r="H20" i="2"/>
  <c r="H15" i="2"/>
  <c r="E19" i="2"/>
  <c r="H19" i="2" s="1"/>
  <c r="E18" i="2"/>
  <c r="H18" i="2" s="1"/>
  <c r="E17" i="2"/>
  <c r="H17" i="2" s="1"/>
  <c r="E14" i="2"/>
  <c r="H14" i="2" s="1"/>
  <c r="E13" i="2"/>
  <c r="H13" i="2" s="1"/>
  <c r="E12" i="2"/>
  <c r="H12" i="2" s="1"/>
  <c r="E11" i="2"/>
  <c r="H11" i="2" s="1"/>
  <c r="E10" i="2"/>
  <c r="H10" i="2" s="1"/>
  <c r="E9" i="2"/>
  <c r="H9" i="2" s="1"/>
  <c r="E8" i="2"/>
  <c r="H8" i="2" s="1"/>
  <c r="H7" i="2"/>
  <c r="E7" i="2"/>
  <c r="E6" i="2"/>
  <c r="H6" i="2" s="1"/>
  <c r="E5" i="2"/>
  <c r="H5" i="2" s="1"/>
  <c r="E4" i="2"/>
  <c r="H4" i="2" s="1"/>
  <c r="K32" i="1" l="1"/>
  <c r="H20" i="1"/>
  <c r="H19" i="1"/>
  <c r="K18" i="1"/>
  <c r="E18" i="1"/>
  <c r="H18" i="1" s="1"/>
  <c r="E17" i="1"/>
  <c r="H17" i="1" s="1"/>
  <c r="E16" i="1"/>
  <c r="H16" i="1" s="1"/>
  <c r="E14" i="1"/>
  <c r="H14" i="1" s="1"/>
  <c r="E13" i="1"/>
  <c r="H13" i="1" s="1"/>
  <c r="E12" i="1"/>
  <c r="H12" i="1" s="1"/>
  <c r="E11" i="1"/>
  <c r="H11" i="1" s="1"/>
  <c r="E10" i="1"/>
  <c r="H10" i="1" s="1"/>
  <c r="E9" i="1"/>
  <c r="H9" i="1" s="1"/>
  <c r="E8" i="1"/>
  <c r="H8" i="1" s="1"/>
  <c r="E7" i="1"/>
  <c r="H7" i="1" s="1"/>
  <c r="E6" i="1"/>
  <c r="H6" i="1" s="1"/>
  <c r="E5" i="1"/>
  <c r="H5" i="1" s="1"/>
  <c r="E4" i="1"/>
  <c r="H4" i="1" s="1"/>
  <c r="K22" i="1" l="1"/>
  <c r="K24" i="1" s="1"/>
  <c r="K25" i="1" s="1"/>
  <c r="H21" i="1"/>
</calcChain>
</file>

<file path=xl/sharedStrings.xml><?xml version="1.0" encoding="utf-8"?>
<sst xmlns="http://schemas.openxmlformats.org/spreadsheetml/2006/main" count="150" uniqueCount="70">
  <si>
    <t>POLIGONO</t>
  </si>
  <si>
    <t>DIMENSIONES</t>
  </si>
  <si>
    <t>M2</t>
  </si>
  <si>
    <t>A</t>
  </si>
  <si>
    <t>x</t>
  </si>
  <si>
    <t>:</t>
  </si>
  <si>
    <t>B</t>
  </si>
  <si>
    <t>C</t>
  </si>
  <si>
    <t>D</t>
  </si>
  <si>
    <t>E</t>
  </si>
  <si>
    <t>F</t>
  </si>
  <si>
    <t>G</t>
  </si>
  <si>
    <t>COEFICIENTE DE CONSTRUCTIBILIDAD</t>
  </si>
  <si>
    <t>total construido / terreno</t>
  </si>
  <si>
    <t>COEFICIENTE OCUPACION DE SUELO</t>
  </si>
  <si>
    <t>total primer piso/ terreno</t>
  </si>
  <si>
    <t>SUPERFICIE TERRENO</t>
  </si>
  <si>
    <t>EDIFICADA SOBRE TERRENO</t>
  </si>
  <si>
    <t>CUADRO DE SUPERFICIES</t>
  </si>
  <si>
    <t>EDIFICADA TOTAL</t>
  </si>
  <si>
    <t>SUPERFICIE OCUPACIÓN SOLO EN PRIMER PISO (m2)</t>
  </si>
  <si>
    <t>SUPERFICIE TOTAL DEL PREDIO O LOS PREDIOS (m2)</t>
  </si>
  <si>
    <t>NORMAS URBANÍSTICAS</t>
  </si>
  <si>
    <t>POLIGONOS DE SUPERFICIES</t>
  </si>
  <si>
    <t>TOTAL M2</t>
  </si>
  <si>
    <t>PREDIO(S) EMPLAZADO(S) EN ÁREA DE RIESGO</t>
  </si>
  <si>
    <t>DENSIDAD</t>
  </si>
  <si>
    <t>COEFICIENTE DE OCUPACIÓN PISOS SUPERIORES</t>
  </si>
  <si>
    <t>COEFICIENTE DE OCUPACIÓN DE SUELO (1er piso)</t>
  </si>
  <si>
    <t>DISTANCIAMIENTOS</t>
  </si>
  <si>
    <t>RASANTE</t>
  </si>
  <si>
    <t>SISTEMA DE AGRUPAMIENTO</t>
  </si>
  <si>
    <t>ADOSAMIENTO</t>
  </si>
  <si>
    <t>ANTEJARDÍN</t>
  </si>
  <si>
    <t>ALTURA EN METROS Y/O PISOS</t>
  </si>
  <si>
    <t>ESTACIONAMIENTOS AUTOMÓVILES</t>
  </si>
  <si>
    <t>ESTACIONAMIENTOS BICICLETAS</t>
  </si>
  <si>
    <t xml:space="preserve">ESTACIONAMIENTOS OTROS VEHÍCULOS (ESPECIFICAR) </t>
  </si>
  <si>
    <t>ESTACIONAMIENTOS PARA PERSONAS CON DISCAPACIDAD</t>
  </si>
  <si>
    <t>DENSIDAD DE OCUPACIÓN</t>
  </si>
  <si>
    <t>CÁLCULO APORTE</t>
  </si>
  <si>
    <t>CARGA DE OCUPACIÓN</t>
  </si>
  <si>
    <t>TERRENO</t>
  </si>
  <si>
    <t>SUPERFICIE DEL TERRENO</t>
  </si>
  <si>
    <t>SUPERFICIE ESPACIO PÚBLICO ADYACENTE</t>
  </si>
  <si>
    <t>SUPERFICIE BRUTA DEL TERRENO (m2)</t>
  </si>
  <si>
    <t>% DE CESIÓN</t>
  </si>
  <si>
    <t>CESIÓN EN TERRENO (m2)</t>
  </si>
  <si>
    <r>
      <t xml:space="preserve">Do </t>
    </r>
    <r>
      <rPr>
        <sz val="11"/>
        <rFont val="Oswald Regular"/>
      </rPr>
      <t>(Densidad de Ocupación) =</t>
    </r>
  </si>
  <si>
    <t>PROYECTADO</t>
  </si>
  <si>
    <t>COEFICIENTES CALCULOS</t>
  </si>
  <si>
    <t>PERMITIDO</t>
  </si>
  <si>
    <t>H</t>
  </si>
  <si>
    <t>I</t>
  </si>
  <si>
    <t>J</t>
  </si>
  <si>
    <t>K</t>
  </si>
  <si>
    <t>L</t>
  </si>
  <si>
    <t>M</t>
  </si>
  <si>
    <t>N</t>
  </si>
  <si>
    <t>SUPERFICIE PRIMER PISO</t>
  </si>
  <si>
    <t>SUPERFICIE SEGUNDO PISO</t>
  </si>
  <si>
    <t>NO</t>
  </si>
  <si>
    <t>100 HAB</t>
  </si>
  <si>
    <t xml:space="preserve"> Art. 2.6.3 </t>
  </si>
  <si>
    <t>Art. 56 LGUC</t>
  </si>
  <si>
    <t>Art. 7.1.2</t>
  </si>
  <si>
    <t>CUMPLE</t>
  </si>
  <si>
    <t>2 PISOS</t>
  </si>
  <si>
    <t>TOTAL M2 PRIMER PISO</t>
  </si>
  <si>
    <t>TOTAL M2 SEGUNDO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</si>
</sst>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9">
    <font>
      <sz val="11"/>
      <color theme="1"/>
      <name val="Calibri"/>
      <family val="2"/>
      <scheme val="minor"/>
    </font>
    <font>
      <sz val="11"/>
      <color theme="1"/>
      <name val="Oswald Regular"/>
    </font>
    <font>
      <sz val="11"/>
      <color theme="4" tint="-0.499984740745262"/>
      <name val="Oswald Regular"/>
    </font>
    <font>
      <b/>
      <sz val="11"/>
      <color theme="1"/>
      <name val="Oswald Regular"/>
    </font>
    <font>
      <b/>
      <sz val="11"/>
      <color theme="4" tint="-0.499984740745262"/>
      <name val="Oswald Regular"/>
    </font>
    <font>
      <b/>
      <sz val="11"/>
      <color rgb="FF000000"/>
      <name val="Oswald Regular"/>
    </font>
    <font>
      <sz val="11"/>
      <color rgb="FF000000"/>
      <name val="Oswald Regular"/>
    </font>
    <font>
      <sz val="11"/>
      <name val="Oswald Regular"/>
    </font>
    <font>
      <b/>
      <sz val="11"/>
      <name val="Oswald Regula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3" fillId="0" borderId="1" xfId="0" applyFont="1" applyBorder="1"/>
    <xf numFmtId="0" fontId="3" fillId="0" borderId="4" xfId="0" applyFont="1" applyBorder="1"/>
    <xf numFmtId="0" fontId="0" fillId="0" borderId="1" xfId="0" applyBorder="1" applyAlignment="1">
      <alignment horizontal="center"/>
    </xf>
    <xf numFmtId="0" fontId="1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4" fontId="6" fillId="3" borderId="1" xfId="0" applyNumberFormat="1" applyFont="1" applyFill="1" applyBorder="1" applyAlignment="1" applyProtection="1">
      <alignment horizontal="center" vertical="center"/>
      <protection hidden="1"/>
    </xf>
    <xf numFmtId="2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4" fillId="4" borderId="8" xfId="0" applyFont="1" applyFill="1" applyBorder="1"/>
    <xf numFmtId="2" fontId="4" fillId="3" borderId="8" xfId="0" applyNumberFormat="1" applyFont="1" applyFill="1" applyBorder="1" applyAlignment="1">
      <alignment horizontal="right"/>
    </xf>
    <xf numFmtId="0" fontId="1" fillId="4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/>
    <xf numFmtId="0" fontId="0" fillId="0" borderId="2" xfId="0" applyBorder="1"/>
    <xf numFmtId="0" fontId="0" fillId="0" borderId="3" xfId="0" applyBorder="1"/>
    <xf numFmtId="0" fontId="4" fillId="4" borderId="1" xfId="0" applyFont="1" applyFill="1" applyBorder="1"/>
    <xf numFmtId="2" fontId="0" fillId="0" borderId="3" xfId="0" applyNumberFormat="1" applyBorder="1"/>
    <xf numFmtId="0" fontId="2" fillId="0" borderId="1" xfId="0" applyFont="1" applyBorder="1" applyAlignment="1">
      <alignment horizontal="left"/>
    </xf>
    <xf numFmtId="2" fontId="4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1</xdr:row>
      <xdr:rowOff>66675</xdr:rowOff>
    </xdr:from>
    <xdr:to>
      <xdr:col>9</xdr:col>
      <xdr:colOff>2505075</xdr:colOff>
      <xdr:row>6</xdr:row>
      <xdr:rowOff>152400</xdr:rowOff>
    </xdr:to>
    <xdr:sp macro="" textlink="" fLocksText="0">
      <xdr:nvSpPr>
        <xdr:cNvPr id="5" name="Rectángulo 4">
          <a:extLst>
            <a:ext uri="{FF2B5EF4-FFF2-40B4-BE49-F238E27FC236}">
              <a16:creationId xmlns:a16="http://schemas.microsoft.com/office/drawing/2014/main" id="{969061B6-AC5F-4CAF-858F-88E4E2891765}"/>
            </a:ext>
          </a:extLst>
        </xdr:cNvPr>
        <xdr:cNvSpPr>
          <a:extLst>
            <a:ext uri="smNativeData">
              <pm:smNativeData xmlns="" xmlns:pm="smNativeData" val="SMDATA_15_Wy4EYRMAAAAlAAAAZAAAAE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BAAAAAAAAADRAU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AAAAAAAAAAAAAAAAAAAAAAAAAAAAAAAPJKAAA9GAAA+BMAADAFAAAAAAAAMAAAABQAAAAAAAAAAAD//wAAAQAAAP//AAABAA=="/>
            </a:ext>
          </a:extLst>
        </xdr:cNvSpPr>
      </xdr:nvSpPr>
      <xdr:spPr>
        <a:xfrm>
          <a:off x="7134225" y="2752725"/>
          <a:ext cx="2228850" cy="923925"/>
        </a:xfrm>
        <a:prstGeom prst="rect">
          <a:avLst/>
        </a:prstGeom>
        <a:solidFill>
          <a:srgbClr val="FFFFFF"/>
        </a:solidFill>
        <a:ln w="9525" cap="flat">
          <a:solidFill>
            <a:srgbClr val="34405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marL="87630" algn="ctr" defTabSz="360045" rtl="0">
            <a:defRPr sz="1000"/>
          </a:pPr>
          <a:r>
            <a:rPr lang="es-es" sz="1200" b="0" i="0" u="none" strike="noStrike" kern="100" baseline="0">
              <a:solidFill>
                <a:srgbClr val="000000"/>
              </a:solidFill>
              <a:latin typeface="Oswald Regular" panose="02000503000000000000" pitchFamily="2" charset="0"/>
              <a:ea typeface="Arial" pitchFamily="2" charset="0"/>
              <a:cs typeface="Arial" pitchFamily="2" charset="0"/>
            </a:rPr>
            <a:t>( 106,04/20)     X     10.000</a:t>
          </a:r>
        </a:p>
        <a:p>
          <a:pPr marL="87630" algn="ctr" defTabSz="360045" rtl="0">
            <a:defRPr sz="1000"/>
          </a:pPr>
          <a:r>
            <a:rPr lang="es-es" sz="900" b="0" i="0" u="none" strike="noStrike" kern="100" baseline="0">
              <a:solidFill>
                <a:srgbClr val="E7E6E6"/>
              </a:solidFill>
              <a:latin typeface="Oswald Regular" panose="02000503000000000000" pitchFamily="2" charset="0"/>
              <a:ea typeface="Arial" pitchFamily="2" charset="0"/>
              <a:cs typeface="Arial" pitchFamily="2" charset="0"/>
            </a:rPr>
            <a:t>(según Art. 4.2.4. OGUC)</a:t>
          </a:r>
        </a:p>
        <a:p>
          <a:pPr marL="87630" algn="ctr" defTabSz="360045" rtl="0">
            <a:defRPr sz="1000"/>
          </a:pPr>
          <a:endParaRPr sz="900">
            <a:latin typeface="Oswald Regular" panose="02000503000000000000" pitchFamily="2" charset="0"/>
          </a:endParaRPr>
        </a:p>
        <a:p>
          <a:pPr marL="87630" algn="ctr" defTabSz="360045" rtl="0">
            <a:defRPr sz="1000"/>
          </a:pPr>
          <a:r>
            <a:rPr lang="es-es" sz="1200" b="0" i="0" u="none" strike="noStrike" kern="100" baseline="0">
              <a:solidFill>
                <a:srgbClr val="000000"/>
              </a:solidFill>
              <a:latin typeface="Oswald Regular" panose="02000503000000000000" pitchFamily="2" charset="0"/>
              <a:ea typeface="Arial" pitchFamily="2" charset="0"/>
              <a:cs typeface="Arial" pitchFamily="2" charset="0"/>
            </a:rPr>
            <a:t>      </a:t>
          </a:r>
          <a:r>
            <a:rPr lang="es-CL" sz="1200" b="0" i="0" u="none" strike="noStrike" kern="100" baseline="0">
              <a:solidFill>
                <a:srgbClr val="000000"/>
              </a:solidFill>
              <a:latin typeface="Oswald Regular" panose="02000503000000000000" pitchFamily="2" charset="0"/>
              <a:ea typeface="Arial" pitchFamily="2" charset="0"/>
              <a:cs typeface="Arial" pitchFamily="2" charset="0"/>
            </a:rPr>
            <a:t>1.891</a:t>
          </a:r>
          <a:endParaRPr sz="900">
            <a:latin typeface="Oswald Regular" panose="02000503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Escala de grise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CA6D-8E01-4063-9571-E7527DD1593C}">
  <dimension ref="A1:L46"/>
  <sheetViews>
    <sheetView zoomScaleNormal="100" workbookViewId="0">
      <selection activeCell="J16" sqref="J16"/>
    </sheetView>
  </sheetViews>
  <sheetFormatPr baseColWidth="10" defaultRowHeight="15"/>
  <cols>
    <col min="1" max="1" width="8.83203125" customWidth="1"/>
    <col min="4" max="4" width="8.5" customWidth="1"/>
    <col min="5" max="5" width="6.1640625" customWidth="1"/>
    <col min="6" max="6" width="11.33203125" customWidth="1"/>
    <col min="7" max="7" width="10.33203125" customWidth="1"/>
    <col min="8" max="8" width="7.83203125" customWidth="1"/>
    <col min="10" max="10" width="42.33203125" customWidth="1"/>
    <col min="11" max="11" width="14.5" bestFit="1" customWidth="1"/>
  </cols>
  <sheetData>
    <row r="1" spans="1:12" ht="17">
      <c r="A1" s="12" t="s">
        <v>23</v>
      </c>
      <c r="J1" s="11" t="s">
        <v>39</v>
      </c>
      <c r="K1" s="10"/>
    </row>
    <row r="2" spans="1:12" ht="17">
      <c r="A2" s="29" t="s">
        <v>0</v>
      </c>
      <c r="B2" s="29" t="s">
        <v>1</v>
      </c>
      <c r="C2" s="29"/>
      <c r="D2" s="29"/>
      <c r="E2" s="29"/>
      <c r="F2" s="29"/>
      <c r="G2" s="29"/>
      <c r="H2" s="30" t="s">
        <v>2</v>
      </c>
      <c r="J2" s="4"/>
      <c r="K2" s="10"/>
    </row>
    <row r="3" spans="1:12">
      <c r="A3" s="45" t="s">
        <v>59</v>
      </c>
      <c r="B3" s="45"/>
      <c r="C3" s="45"/>
      <c r="D3" s="45"/>
      <c r="E3" s="45"/>
      <c r="F3" s="45"/>
      <c r="G3" s="45"/>
      <c r="H3" s="45"/>
      <c r="J3" s="4"/>
      <c r="K3" s="10"/>
    </row>
    <row r="4" spans="1:12" ht="17">
      <c r="A4" s="5" t="s">
        <v>3</v>
      </c>
      <c r="B4" s="27">
        <v>3.51</v>
      </c>
      <c r="C4" s="6" t="s">
        <v>4</v>
      </c>
      <c r="D4" s="6">
        <v>3.45</v>
      </c>
      <c r="E4" s="7">
        <f t="shared" ref="E4:E10" si="0">B4*D4</f>
        <v>12.109500000000001</v>
      </c>
      <c r="F4" s="6" t="s">
        <v>5</v>
      </c>
      <c r="G4" s="6">
        <v>1</v>
      </c>
      <c r="H4" s="7">
        <f t="shared" ref="H4:H10" si="1">E4/G4</f>
        <v>12.109500000000001</v>
      </c>
      <c r="J4" s="4"/>
      <c r="K4" s="10"/>
    </row>
    <row r="5" spans="1:12" ht="17">
      <c r="A5" s="5" t="s">
        <v>6</v>
      </c>
      <c r="B5" s="6">
        <v>1.87</v>
      </c>
      <c r="C5" s="6" t="s">
        <v>4</v>
      </c>
      <c r="D5" s="6">
        <v>2.37</v>
      </c>
      <c r="E5" s="7">
        <f t="shared" si="0"/>
        <v>4.4319000000000006</v>
      </c>
      <c r="F5" s="6" t="s">
        <v>5</v>
      </c>
      <c r="G5" s="6">
        <v>1</v>
      </c>
      <c r="H5" s="7">
        <f t="shared" si="1"/>
        <v>4.4319000000000006</v>
      </c>
      <c r="J5" s="4"/>
      <c r="K5" s="10"/>
    </row>
    <row r="6" spans="1:12" ht="17">
      <c r="A6" s="5" t="s">
        <v>7</v>
      </c>
      <c r="B6" s="6">
        <v>1.87</v>
      </c>
      <c r="C6" s="6" t="s">
        <v>4</v>
      </c>
      <c r="D6" s="6">
        <v>1.08</v>
      </c>
      <c r="E6" s="7">
        <f t="shared" si="0"/>
        <v>2.0196000000000001</v>
      </c>
      <c r="F6" s="6" t="s">
        <v>5</v>
      </c>
      <c r="G6" s="6">
        <v>1</v>
      </c>
      <c r="H6" s="7">
        <f t="shared" si="1"/>
        <v>2.0196000000000001</v>
      </c>
      <c r="J6" s="4"/>
      <c r="K6" s="10"/>
    </row>
    <row r="7" spans="1:12" ht="17">
      <c r="A7" s="5" t="s">
        <v>8</v>
      </c>
      <c r="B7" s="6">
        <v>2.86</v>
      </c>
      <c r="C7" s="6" t="s">
        <v>4</v>
      </c>
      <c r="D7" s="6">
        <v>3.06</v>
      </c>
      <c r="E7" s="7">
        <f t="shared" si="0"/>
        <v>8.7515999999999998</v>
      </c>
      <c r="F7" s="6" t="s">
        <v>5</v>
      </c>
      <c r="G7" s="6">
        <v>1</v>
      </c>
      <c r="H7" s="7">
        <f t="shared" si="1"/>
        <v>8.7515999999999998</v>
      </c>
      <c r="J7" s="4"/>
    </row>
    <row r="8" spans="1:12" ht="17">
      <c r="A8" s="5" t="s">
        <v>9</v>
      </c>
      <c r="B8" s="6">
        <v>2.86</v>
      </c>
      <c r="C8" s="6" t="s">
        <v>4</v>
      </c>
      <c r="D8" s="6">
        <v>0.30599999999999999</v>
      </c>
      <c r="E8" s="7">
        <f t="shared" si="0"/>
        <v>0.87515999999999994</v>
      </c>
      <c r="F8" s="6" t="s">
        <v>5</v>
      </c>
      <c r="G8" s="6">
        <v>1</v>
      </c>
      <c r="H8" s="7">
        <f t="shared" si="1"/>
        <v>0.87515999999999994</v>
      </c>
    </row>
    <row r="9" spans="1:12" ht="17">
      <c r="A9" s="5" t="s">
        <v>10</v>
      </c>
      <c r="B9" s="6">
        <v>1.64</v>
      </c>
      <c r="C9" s="6" t="s">
        <v>4</v>
      </c>
      <c r="D9" s="6">
        <v>2.54</v>
      </c>
      <c r="E9" s="7">
        <f t="shared" si="0"/>
        <v>4.1655999999999995</v>
      </c>
      <c r="F9" s="6" t="s">
        <v>5</v>
      </c>
      <c r="G9" s="6">
        <v>1</v>
      </c>
      <c r="H9" s="7">
        <f t="shared" si="1"/>
        <v>4.1655999999999995</v>
      </c>
    </row>
    <row r="10" spans="1:12" ht="17">
      <c r="A10" s="5" t="s">
        <v>11</v>
      </c>
      <c r="B10" s="6">
        <v>5.38</v>
      </c>
      <c r="C10" s="6" t="s">
        <v>4</v>
      </c>
      <c r="D10" s="6">
        <v>3.1</v>
      </c>
      <c r="E10" s="7">
        <f t="shared" si="0"/>
        <v>16.678000000000001</v>
      </c>
      <c r="F10" s="6" t="s">
        <v>5</v>
      </c>
      <c r="G10" s="6">
        <v>1</v>
      </c>
      <c r="H10" s="7">
        <f t="shared" si="1"/>
        <v>16.678000000000001</v>
      </c>
    </row>
    <row r="11" spans="1:12" ht="17">
      <c r="A11" s="5" t="s">
        <v>52</v>
      </c>
      <c r="B11" s="6">
        <v>5.38</v>
      </c>
      <c r="C11" s="6" t="s">
        <v>4</v>
      </c>
      <c r="D11" s="6">
        <v>3.01</v>
      </c>
      <c r="E11" s="7">
        <f t="shared" ref="E11:E18" si="2">B11*D11</f>
        <v>16.1938</v>
      </c>
      <c r="F11" s="6" t="s">
        <v>5</v>
      </c>
      <c r="G11" s="6">
        <v>1</v>
      </c>
      <c r="H11" s="7">
        <f t="shared" ref="H11:H18" si="3">E11/G11</f>
        <v>16.1938</v>
      </c>
      <c r="J11" s="17" t="s">
        <v>40</v>
      </c>
      <c r="K11" s="4"/>
    </row>
    <row r="12" spans="1:12" ht="17">
      <c r="A12" s="5" t="s">
        <v>53</v>
      </c>
      <c r="B12" s="6">
        <v>3.59</v>
      </c>
      <c r="C12" s="6" t="s">
        <v>4</v>
      </c>
      <c r="D12" s="6">
        <v>4.6500000000000004</v>
      </c>
      <c r="E12" s="7">
        <f t="shared" si="2"/>
        <v>16.6935</v>
      </c>
      <c r="F12" s="6" t="s">
        <v>5</v>
      </c>
      <c r="G12" s="6">
        <v>1</v>
      </c>
      <c r="H12" s="7">
        <f t="shared" si="3"/>
        <v>16.6935</v>
      </c>
      <c r="J12" s="17" t="s">
        <v>41</v>
      </c>
      <c r="K12" s="36">
        <v>5.3</v>
      </c>
    </row>
    <row r="13" spans="1:12" ht="17">
      <c r="A13" s="5" t="s">
        <v>54</v>
      </c>
      <c r="B13" s="6">
        <v>0.91</v>
      </c>
      <c r="C13" s="6" t="s">
        <v>4</v>
      </c>
      <c r="D13" s="6">
        <v>7.1</v>
      </c>
      <c r="E13" s="7">
        <f t="shared" si="2"/>
        <v>6.4610000000000003</v>
      </c>
      <c r="F13" s="6" t="s">
        <v>5</v>
      </c>
      <c r="G13" s="6">
        <v>2</v>
      </c>
      <c r="H13" s="7">
        <f t="shared" si="3"/>
        <v>3.2305000000000001</v>
      </c>
      <c r="J13" s="18"/>
      <c r="K13" s="37"/>
    </row>
    <row r="14" spans="1:12" ht="17">
      <c r="A14" s="5" t="s">
        <v>55</v>
      </c>
      <c r="B14" s="6">
        <v>4.74</v>
      </c>
      <c r="C14" s="6" t="s">
        <v>4</v>
      </c>
      <c r="D14" s="6">
        <v>2.44</v>
      </c>
      <c r="E14" s="7">
        <f t="shared" si="2"/>
        <v>11.5656</v>
      </c>
      <c r="F14" s="6" t="s">
        <v>5</v>
      </c>
      <c r="G14" s="6">
        <v>2</v>
      </c>
      <c r="H14" s="7">
        <f t="shared" si="3"/>
        <v>5.7827999999999999</v>
      </c>
      <c r="J14" s="34" t="s">
        <v>42</v>
      </c>
      <c r="K14" s="38" t="s">
        <v>2</v>
      </c>
      <c r="L14" s="10"/>
    </row>
    <row r="15" spans="1:12" ht="17">
      <c r="A15" s="42" t="s">
        <v>60</v>
      </c>
      <c r="B15" s="43"/>
      <c r="C15" s="43"/>
      <c r="D15" s="43"/>
      <c r="E15" s="43"/>
      <c r="F15" s="43"/>
      <c r="G15" s="43"/>
      <c r="H15" s="44"/>
      <c r="J15" s="34"/>
      <c r="K15" s="38"/>
      <c r="L15" s="10"/>
    </row>
    <row r="16" spans="1:12" ht="17">
      <c r="A16" s="5" t="s">
        <v>56</v>
      </c>
      <c r="B16" s="6">
        <v>2.76</v>
      </c>
      <c r="C16" s="6" t="s">
        <v>4</v>
      </c>
      <c r="D16" s="6">
        <v>3.38</v>
      </c>
      <c r="E16" s="7">
        <f t="shared" si="2"/>
        <v>9.3287999999999993</v>
      </c>
      <c r="F16" s="6" t="s">
        <v>5</v>
      </c>
      <c r="G16" s="6">
        <v>2</v>
      </c>
      <c r="H16" s="7">
        <f t="shared" si="3"/>
        <v>4.6643999999999997</v>
      </c>
      <c r="J16" s="19" t="s">
        <v>43</v>
      </c>
      <c r="K16" s="39">
        <v>1885</v>
      </c>
      <c r="L16" s="10"/>
    </row>
    <row r="17" spans="1:12" ht="17">
      <c r="A17" s="5" t="s">
        <v>57</v>
      </c>
      <c r="B17" s="6">
        <v>1.64</v>
      </c>
      <c r="C17" s="6" t="s">
        <v>4</v>
      </c>
      <c r="D17" s="6">
        <v>0.95</v>
      </c>
      <c r="E17" s="7">
        <f t="shared" si="2"/>
        <v>1.5579999999999998</v>
      </c>
      <c r="F17" s="6" t="s">
        <v>5</v>
      </c>
      <c r="G17" s="6">
        <v>2</v>
      </c>
      <c r="H17" s="7">
        <f t="shared" si="3"/>
        <v>0.77899999999999991</v>
      </c>
      <c r="J17" s="19" t="s">
        <v>44</v>
      </c>
      <c r="K17" s="40">
        <v>6</v>
      </c>
      <c r="L17" s="10"/>
    </row>
    <row r="18" spans="1:12" ht="17">
      <c r="A18" s="5" t="s">
        <v>58</v>
      </c>
      <c r="B18" s="6">
        <v>2.86</v>
      </c>
      <c r="C18" s="6" t="s">
        <v>4</v>
      </c>
      <c r="D18" s="6">
        <v>3.38</v>
      </c>
      <c r="E18" s="7">
        <f t="shared" si="2"/>
        <v>9.6667999999999985</v>
      </c>
      <c r="F18" s="6" t="s">
        <v>5</v>
      </c>
      <c r="G18" s="6">
        <v>1</v>
      </c>
      <c r="H18" s="7">
        <f t="shared" si="3"/>
        <v>9.6667999999999985</v>
      </c>
      <c r="J18" s="19" t="s">
        <v>45</v>
      </c>
      <c r="K18" s="35">
        <f>K16+K17</f>
        <v>1891</v>
      </c>
      <c r="L18" s="10"/>
    </row>
    <row r="19" spans="1:12" ht="17">
      <c r="A19" s="5"/>
      <c r="B19" s="6"/>
      <c r="C19" s="6"/>
      <c r="D19" s="6"/>
      <c r="E19" s="7"/>
      <c r="F19" s="6"/>
      <c r="G19" s="31" t="s">
        <v>24</v>
      </c>
      <c r="H19" s="32">
        <f>SUM(H7:H14)</f>
        <v>72.370959999999997</v>
      </c>
      <c r="J19" s="19"/>
      <c r="K19" s="35"/>
      <c r="L19" s="10"/>
    </row>
    <row r="20" spans="1:12" ht="17">
      <c r="A20" s="5"/>
      <c r="B20" s="6"/>
      <c r="C20" s="6"/>
      <c r="D20" s="6"/>
      <c r="E20" s="7"/>
      <c r="F20" s="6"/>
      <c r="G20" s="31" t="s">
        <v>24</v>
      </c>
      <c r="H20" s="32">
        <f>SUM(H16:H18)</f>
        <v>15.110199999999999</v>
      </c>
      <c r="J20" s="19"/>
      <c r="K20" s="35"/>
      <c r="L20" s="10"/>
    </row>
    <row r="21" spans="1:12" ht="17">
      <c r="A21" s="5"/>
      <c r="B21" s="6"/>
      <c r="C21" s="6"/>
      <c r="D21" s="6"/>
      <c r="E21" s="7"/>
      <c r="F21" s="6"/>
      <c r="G21" s="31" t="s">
        <v>24</v>
      </c>
      <c r="H21" s="32">
        <f>SUM(H4:H18)</f>
        <v>106.04216</v>
      </c>
      <c r="J21" s="20"/>
      <c r="K21" s="20"/>
      <c r="L21" s="10"/>
    </row>
    <row r="22" spans="1:12" ht="17">
      <c r="J22" s="21" t="s">
        <v>48</v>
      </c>
      <c r="K22" s="22">
        <f>K12*10000/K18</f>
        <v>28.027498677948177</v>
      </c>
    </row>
    <row r="23" spans="1:12" ht="17">
      <c r="A23" s="12" t="s">
        <v>18</v>
      </c>
      <c r="B23" s="8"/>
      <c r="C23" s="9"/>
      <c r="J23" s="20"/>
      <c r="K23" s="20"/>
    </row>
    <row r="24" spans="1:12" ht="17">
      <c r="A24" s="1" t="s">
        <v>16</v>
      </c>
      <c r="B24" s="4"/>
      <c r="C24" s="4"/>
      <c r="D24" s="4"/>
      <c r="E24" s="13"/>
      <c r="F24" s="13">
        <v>1885</v>
      </c>
      <c r="J24" s="23" t="s">
        <v>46</v>
      </c>
      <c r="K24" s="24">
        <f>K22*11/2000</f>
        <v>0.15415124272871497</v>
      </c>
    </row>
    <row r="25" spans="1:12" ht="17">
      <c r="A25" s="3" t="s">
        <v>17</v>
      </c>
      <c r="B25" s="4"/>
      <c r="C25" s="4"/>
      <c r="D25" s="4"/>
      <c r="E25" s="13"/>
      <c r="F25" s="13">
        <v>106.04</v>
      </c>
      <c r="J25" s="23" t="s">
        <v>47</v>
      </c>
      <c r="K25" s="22">
        <f>K16*K24%</f>
        <v>2.9057509254362772</v>
      </c>
    </row>
    <row r="26" spans="1:12" ht="17">
      <c r="A26" s="1" t="s">
        <v>19</v>
      </c>
      <c r="B26" s="1"/>
      <c r="C26" s="1"/>
      <c r="D26" s="1"/>
      <c r="E26" s="2"/>
      <c r="F26" s="13">
        <v>106.04</v>
      </c>
    </row>
    <row r="27" spans="1:12" ht="17">
      <c r="A27" s="1" t="s">
        <v>20</v>
      </c>
      <c r="B27" s="1"/>
      <c r="C27" s="1"/>
      <c r="D27" s="1"/>
      <c r="E27" s="2"/>
      <c r="F27" s="13"/>
    </row>
    <row r="28" spans="1:12" ht="17">
      <c r="A28" s="1" t="s">
        <v>21</v>
      </c>
      <c r="B28" s="1"/>
      <c r="C28" s="1"/>
      <c r="D28" s="1"/>
      <c r="E28" s="2"/>
      <c r="F28" s="13"/>
      <c r="J28" s="11" t="s">
        <v>50</v>
      </c>
      <c r="K28" s="2"/>
    </row>
    <row r="29" spans="1:12" ht="17">
      <c r="A29" s="1" t="s">
        <v>25</v>
      </c>
      <c r="B29" s="1"/>
      <c r="C29" s="1"/>
      <c r="D29" s="1"/>
      <c r="E29" s="2" t="s">
        <v>61</v>
      </c>
      <c r="F29" s="13"/>
      <c r="J29" s="1" t="s">
        <v>12</v>
      </c>
      <c r="K29" s="2">
        <v>0.2</v>
      </c>
    </row>
    <row r="30" spans="1:12" ht="17">
      <c r="J30" s="1" t="s">
        <v>13</v>
      </c>
      <c r="K30" s="2"/>
    </row>
    <row r="31" spans="1:12" ht="17">
      <c r="A31" s="11" t="s">
        <v>22</v>
      </c>
      <c r="B31" s="1"/>
      <c r="C31" s="1"/>
      <c r="D31" s="1"/>
      <c r="E31" s="25"/>
      <c r="F31" s="28" t="s">
        <v>49</v>
      </c>
      <c r="G31" s="28" t="s">
        <v>51</v>
      </c>
      <c r="J31" s="1"/>
      <c r="K31" s="2">
        <v>0</v>
      </c>
    </row>
    <row r="32" spans="1:12" ht="17">
      <c r="A32" s="14" t="s">
        <v>26</v>
      </c>
      <c r="B32" s="15"/>
      <c r="C32" s="15"/>
      <c r="D32" s="16"/>
      <c r="E32" s="26"/>
      <c r="G32" s="33" t="s">
        <v>62</v>
      </c>
      <c r="J32" s="11" t="s">
        <v>14</v>
      </c>
      <c r="K32" s="41">
        <f>H19/K16</f>
        <v>3.8393082228116708E-2</v>
      </c>
    </row>
    <row r="33" spans="1:11" ht="17">
      <c r="A33" s="1" t="s">
        <v>27</v>
      </c>
      <c r="B33" s="1"/>
      <c r="C33" s="1"/>
      <c r="D33" s="1"/>
      <c r="E33" s="25"/>
      <c r="F33" s="28"/>
      <c r="G33" s="25"/>
      <c r="J33" s="1" t="s">
        <v>15</v>
      </c>
      <c r="K33" s="13"/>
    </row>
    <row r="34" spans="1:11" ht="17">
      <c r="A34" s="1" t="s">
        <v>28</v>
      </c>
      <c r="B34" s="1"/>
      <c r="C34" s="1"/>
      <c r="D34" s="1"/>
      <c r="E34" s="25"/>
      <c r="F34" s="28"/>
      <c r="G34" s="25"/>
    </row>
    <row r="35" spans="1:11" ht="17">
      <c r="A35" s="1" t="s">
        <v>12</v>
      </c>
      <c r="B35" s="1"/>
      <c r="C35" s="1"/>
      <c r="D35" s="1"/>
      <c r="E35" s="25"/>
      <c r="F35" s="28">
        <v>0.04</v>
      </c>
      <c r="G35" s="25"/>
    </row>
    <row r="36" spans="1:11" ht="17">
      <c r="A36" s="1" t="s">
        <v>29</v>
      </c>
      <c r="B36" s="1"/>
      <c r="C36" s="1"/>
      <c r="D36" s="1"/>
      <c r="E36" s="25"/>
      <c r="F36" s="28" t="s">
        <v>66</v>
      </c>
      <c r="G36" s="25" t="s">
        <v>63</v>
      </c>
    </row>
    <row r="37" spans="1:11" ht="17">
      <c r="A37" s="1" t="s">
        <v>30</v>
      </c>
      <c r="B37" s="1"/>
      <c r="C37" s="1"/>
      <c r="D37" s="1"/>
      <c r="E37" s="25"/>
      <c r="F37" s="28"/>
      <c r="G37" s="25"/>
    </row>
    <row r="38" spans="1:11" ht="17">
      <c r="A38" s="1" t="s">
        <v>31</v>
      </c>
      <c r="B38" s="1"/>
      <c r="C38" s="1"/>
      <c r="D38" s="1"/>
      <c r="E38" s="25"/>
      <c r="F38" s="28"/>
      <c r="G38" s="25"/>
    </row>
    <row r="39" spans="1:11" ht="17">
      <c r="A39" s="1" t="s">
        <v>32</v>
      </c>
      <c r="B39" s="1"/>
      <c r="C39" s="1"/>
      <c r="D39" s="1"/>
      <c r="E39" s="25"/>
      <c r="F39" s="28"/>
      <c r="G39" s="25"/>
    </row>
    <row r="40" spans="1:11" ht="17">
      <c r="A40" s="1" t="s">
        <v>33</v>
      </c>
      <c r="B40" s="1"/>
      <c r="C40" s="1"/>
      <c r="D40" s="1"/>
      <c r="E40" s="25"/>
      <c r="F40" s="28" t="s">
        <v>66</v>
      </c>
      <c r="G40" s="25" t="s">
        <v>64</v>
      </c>
    </row>
    <row r="41" spans="1:11" ht="17">
      <c r="A41" s="1" t="s">
        <v>34</v>
      </c>
      <c r="B41" s="1"/>
      <c r="C41" s="1"/>
      <c r="D41" s="1"/>
      <c r="E41" s="25"/>
      <c r="F41" s="28" t="s">
        <v>67</v>
      </c>
      <c r="G41" s="25"/>
    </row>
    <row r="42" spans="1:11" ht="17">
      <c r="A42" s="1"/>
      <c r="B42" s="1"/>
      <c r="C42" s="1"/>
      <c r="D42" s="1"/>
      <c r="E42" s="25"/>
      <c r="F42" s="28"/>
      <c r="G42" s="25"/>
    </row>
    <row r="43" spans="1:11" ht="17">
      <c r="A43" s="1" t="s">
        <v>35</v>
      </c>
      <c r="B43" s="1"/>
      <c r="C43" s="1"/>
      <c r="D43" s="1"/>
      <c r="E43" s="25"/>
      <c r="F43" s="28"/>
      <c r="G43" s="25" t="s">
        <v>65</v>
      </c>
    </row>
    <row r="44" spans="1:11" ht="17">
      <c r="A44" s="1" t="s">
        <v>36</v>
      </c>
      <c r="B44" s="1"/>
      <c r="C44" s="1"/>
      <c r="D44" s="1"/>
      <c r="E44" s="25"/>
      <c r="F44" s="28"/>
      <c r="G44" s="25"/>
    </row>
    <row r="45" spans="1:11" ht="17">
      <c r="A45" s="1" t="s">
        <v>37</v>
      </c>
      <c r="E45" s="25"/>
      <c r="F45" s="28"/>
      <c r="G45" s="25"/>
    </row>
    <row r="46" spans="1:11" ht="17">
      <c r="A46" s="1" t="s">
        <v>38</v>
      </c>
      <c r="B46" s="1"/>
      <c r="C46" s="1"/>
      <c r="D46" s="1"/>
      <c r="E46" s="25"/>
      <c r="F46" s="28"/>
      <c r="G46" s="25"/>
    </row>
  </sheetData>
  <mergeCells count="2">
    <mergeCell ref="A15:H15"/>
    <mergeCell ref="A3:H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248E-29B9-0B48-AB83-090DAE00956E}">
  <dimension ref="A1:H22"/>
  <sheetViews>
    <sheetView tabSelected="1" workbookViewId="0">
      <selection activeCell="H22" sqref="A1:H22"/>
    </sheetView>
  </sheetViews>
  <sheetFormatPr baseColWidth="10" defaultRowHeight="15"/>
  <sheetData>
    <row r="1" spans="1:8" ht="17">
      <c r="A1" s="11" t="s">
        <v>23</v>
      </c>
      <c r="B1" s="46"/>
      <c r="C1" s="46"/>
      <c r="D1" s="46"/>
      <c r="E1" s="46"/>
      <c r="F1" s="46"/>
      <c r="G1" s="46"/>
      <c r="H1" s="47"/>
    </row>
    <row r="2" spans="1:8" ht="17">
      <c r="A2" s="29" t="s">
        <v>0</v>
      </c>
      <c r="B2" s="29" t="s">
        <v>1</v>
      </c>
      <c r="C2" s="29"/>
      <c r="D2" s="29"/>
      <c r="E2" s="29"/>
      <c r="F2" s="29"/>
      <c r="G2" s="29"/>
      <c r="H2" s="30" t="s">
        <v>2</v>
      </c>
    </row>
    <row r="3" spans="1:8">
      <c r="A3" s="45" t="s">
        <v>59</v>
      </c>
      <c r="B3" s="45"/>
      <c r="C3" s="45"/>
      <c r="D3" s="45"/>
      <c r="E3" s="45"/>
      <c r="F3" s="45"/>
      <c r="G3" s="45"/>
      <c r="H3" s="45"/>
    </row>
    <row r="4" spans="1:8" ht="17">
      <c r="A4" s="5" t="s">
        <v>3</v>
      </c>
      <c r="B4" s="27">
        <v>3.51</v>
      </c>
      <c r="C4" s="6" t="s">
        <v>4</v>
      </c>
      <c r="D4" s="6">
        <v>3.45</v>
      </c>
      <c r="E4" s="7">
        <f t="shared" ref="E4:E14" si="0">B4*D4</f>
        <v>12.109500000000001</v>
      </c>
      <c r="F4" s="6" t="s">
        <v>5</v>
      </c>
      <c r="G4" s="6">
        <v>1</v>
      </c>
      <c r="H4" s="7">
        <f t="shared" ref="H4:H14" si="1">E4/G4</f>
        <v>12.109500000000001</v>
      </c>
    </row>
    <row r="5" spans="1:8" ht="17">
      <c r="A5" s="5" t="s">
        <v>6</v>
      </c>
      <c r="B5" s="6">
        <v>1.87</v>
      </c>
      <c r="C5" s="6" t="s">
        <v>4</v>
      </c>
      <c r="D5" s="6">
        <v>2.37</v>
      </c>
      <c r="E5" s="7">
        <f t="shared" si="0"/>
        <v>4.4319000000000006</v>
      </c>
      <c r="F5" s="6" t="s">
        <v>5</v>
      </c>
      <c r="G5" s="6">
        <v>1</v>
      </c>
      <c r="H5" s="7">
        <f t="shared" si="1"/>
        <v>4.4319000000000006</v>
      </c>
    </row>
    <row r="6" spans="1:8" ht="17">
      <c r="A6" s="5" t="s">
        <v>7</v>
      </c>
      <c r="B6" s="6">
        <v>1.87</v>
      </c>
      <c r="C6" s="6" t="s">
        <v>4</v>
      </c>
      <c r="D6" s="6">
        <v>1.08</v>
      </c>
      <c r="E6" s="7">
        <f t="shared" si="0"/>
        <v>2.0196000000000001</v>
      </c>
      <c r="F6" s="6" t="s">
        <v>5</v>
      </c>
      <c r="G6" s="6">
        <v>1</v>
      </c>
      <c r="H6" s="7">
        <f t="shared" si="1"/>
        <v>2.0196000000000001</v>
      </c>
    </row>
    <row r="7" spans="1:8" ht="17">
      <c r="A7" s="5" t="s">
        <v>8</v>
      </c>
      <c r="B7" s="6">
        <v>2.86</v>
      </c>
      <c r="C7" s="6" t="s">
        <v>4</v>
      </c>
      <c r="D7" s="6">
        <v>3.06</v>
      </c>
      <c r="E7" s="7">
        <f t="shared" si="0"/>
        <v>8.7515999999999998</v>
      </c>
      <c r="F7" s="6" t="s">
        <v>5</v>
      </c>
      <c r="G7" s="6">
        <v>1</v>
      </c>
      <c r="H7" s="7">
        <f t="shared" si="1"/>
        <v>8.7515999999999998</v>
      </c>
    </row>
    <row r="8" spans="1:8" ht="17">
      <c r="A8" s="5" t="s">
        <v>9</v>
      </c>
      <c r="B8" s="6">
        <v>2.86</v>
      </c>
      <c r="C8" s="6" t="s">
        <v>4</v>
      </c>
      <c r="D8" s="6">
        <v>0.30599999999999999</v>
      </c>
      <c r="E8" s="7">
        <f t="shared" si="0"/>
        <v>0.87515999999999994</v>
      </c>
      <c r="F8" s="6" t="s">
        <v>5</v>
      </c>
      <c r="G8" s="6">
        <v>1</v>
      </c>
      <c r="H8" s="7">
        <f t="shared" si="1"/>
        <v>0.87515999999999994</v>
      </c>
    </row>
    <row r="9" spans="1:8" ht="17">
      <c r="A9" s="5" t="s">
        <v>10</v>
      </c>
      <c r="B9" s="6">
        <v>1.64</v>
      </c>
      <c r="C9" s="6" t="s">
        <v>4</v>
      </c>
      <c r="D9" s="6">
        <v>2.54</v>
      </c>
      <c r="E9" s="7">
        <f t="shared" si="0"/>
        <v>4.1655999999999995</v>
      </c>
      <c r="F9" s="6" t="s">
        <v>5</v>
      </c>
      <c r="G9" s="6">
        <v>1</v>
      </c>
      <c r="H9" s="7">
        <f t="shared" si="1"/>
        <v>4.1655999999999995</v>
      </c>
    </row>
    <row r="10" spans="1:8" ht="17">
      <c r="A10" s="5" t="s">
        <v>11</v>
      </c>
      <c r="B10" s="6">
        <v>5.38</v>
      </c>
      <c r="C10" s="6" t="s">
        <v>4</v>
      </c>
      <c r="D10" s="6">
        <v>3.1</v>
      </c>
      <c r="E10" s="7">
        <f t="shared" si="0"/>
        <v>16.678000000000001</v>
      </c>
      <c r="F10" s="6" t="s">
        <v>5</v>
      </c>
      <c r="G10" s="6">
        <v>1</v>
      </c>
      <c r="H10" s="7">
        <f t="shared" si="1"/>
        <v>16.678000000000001</v>
      </c>
    </row>
    <row r="11" spans="1:8" ht="17">
      <c r="A11" s="5" t="s">
        <v>52</v>
      </c>
      <c r="B11" s="6">
        <v>5.38</v>
      </c>
      <c r="C11" s="6" t="s">
        <v>4</v>
      </c>
      <c r="D11" s="6">
        <v>3.01</v>
      </c>
      <c r="E11" s="7">
        <f t="shared" si="0"/>
        <v>16.1938</v>
      </c>
      <c r="F11" s="6" t="s">
        <v>5</v>
      </c>
      <c r="G11" s="6">
        <v>1</v>
      </c>
      <c r="H11" s="7">
        <f t="shared" si="1"/>
        <v>16.1938</v>
      </c>
    </row>
    <row r="12" spans="1:8" ht="17">
      <c r="A12" s="5" t="s">
        <v>53</v>
      </c>
      <c r="B12" s="6">
        <v>3.59</v>
      </c>
      <c r="C12" s="6" t="s">
        <v>4</v>
      </c>
      <c r="D12" s="6">
        <v>4.6500000000000004</v>
      </c>
      <c r="E12" s="7">
        <f t="shared" si="0"/>
        <v>16.6935</v>
      </c>
      <c r="F12" s="6" t="s">
        <v>5</v>
      </c>
      <c r="G12" s="6">
        <v>1</v>
      </c>
      <c r="H12" s="7">
        <f t="shared" si="1"/>
        <v>16.6935</v>
      </c>
    </row>
    <row r="13" spans="1:8" ht="17">
      <c r="A13" s="5" t="s">
        <v>54</v>
      </c>
      <c r="B13" s="6">
        <v>0.91</v>
      </c>
      <c r="C13" s="6" t="s">
        <v>4</v>
      </c>
      <c r="D13" s="6">
        <v>7.1</v>
      </c>
      <c r="E13" s="7">
        <f t="shared" si="0"/>
        <v>6.4610000000000003</v>
      </c>
      <c r="F13" s="6" t="s">
        <v>5</v>
      </c>
      <c r="G13" s="6">
        <v>2</v>
      </c>
      <c r="H13" s="7">
        <f t="shared" si="1"/>
        <v>3.2305000000000001</v>
      </c>
    </row>
    <row r="14" spans="1:8" ht="17">
      <c r="A14" s="5" t="s">
        <v>55</v>
      </c>
      <c r="B14" s="6">
        <v>4.74</v>
      </c>
      <c r="C14" s="6" t="s">
        <v>4</v>
      </c>
      <c r="D14" s="6">
        <v>2.44</v>
      </c>
      <c r="E14" s="7">
        <f t="shared" si="0"/>
        <v>11.5656</v>
      </c>
      <c r="F14" s="6" t="s">
        <v>5</v>
      </c>
      <c r="G14" s="6">
        <v>2</v>
      </c>
      <c r="H14" s="7">
        <f t="shared" si="1"/>
        <v>5.7827999999999999</v>
      </c>
    </row>
    <row r="15" spans="1:8" ht="17">
      <c r="F15" s="48" t="s">
        <v>68</v>
      </c>
      <c r="G15" s="46"/>
      <c r="H15" s="49">
        <f>SUM(H4:H14)</f>
        <v>90.931960000000004</v>
      </c>
    </row>
    <row r="16" spans="1:8" ht="17">
      <c r="A16" s="42" t="s">
        <v>60</v>
      </c>
      <c r="B16" s="43"/>
      <c r="C16" s="43"/>
      <c r="D16" s="43"/>
      <c r="E16" s="43"/>
      <c r="F16" s="43"/>
      <c r="G16" s="43"/>
      <c r="H16" s="44"/>
    </row>
    <row r="17" spans="1:8" ht="17">
      <c r="A17" s="5" t="s">
        <v>56</v>
      </c>
      <c r="B17" s="6">
        <v>2.76</v>
      </c>
      <c r="C17" s="6" t="s">
        <v>4</v>
      </c>
      <c r="D17" s="6">
        <v>3.38</v>
      </c>
      <c r="E17" s="7">
        <f>B17*D17</f>
        <v>9.3287999999999993</v>
      </c>
      <c r="F17" s="6" t="s">
        <v>5</v>
      </c>
      <c r="G17" s="6">
        <v>2</v>
      </c>
      <c r="H17" s="7">
        <f>E17/G17</f>
        <v>4.6643999999999997</v>
      </c>
    </row>
    <row r="18" spans="1:8" ht="17">
      <c r="A18" s="5" t="s">
        <v>57</v>
      </c>
      <c r="B18" s="6">
        <v>1.64</v>
      </c>
      <c r="C18" s="6" t="s">
        <v>4</v>
      </c>
      <c r="D18" s="6">
        <v>0.95</v>
      </c>
      <c r="E18" s="7">
        <f>B18*D18</f>
        <v>1.5579999999999998</v>
      </c>
      <c r="F18" s="6" t="s">
        <v>5</v>
      </c>
      <c r="G18" s="6">
        <v>2</v>
      </c>
      <c r="H18" s="7">
        <f>E18/G18</f>
        <v>0.77899999999999991</v>
      </c>
    </row>
    <row r="19" spans="1:8" ht="17">
      <c r="A19" s="5" t="s">
        <v>58</v>
      </c>
      <c r="B19" s="6">
        <v>2.86</v>
      </c>
      <c r="C19" s="6" t="s">
        <v>4</v>
      </c>
      <c r="D19" s="6">
        <v>3.38</v>
      </c>
      <c r="E19" s="7">
        <f>B19*D19</f>
        <v>9.6667999999999985</v>
      </c>
      <c r="F19" s="6" t="s">
        <v>5</v>
      </c>
      <c r="G19" s="6">
        <v>1</v>
      </c>
      <c r="H19" s="7">
        <f>E19/G19</f>
        <v>9.6667999999999985</v>
      </c>
    </row>
    <row r="20" spans="1:8" ht="17">
      <c r="A20" s="5"/>
      <c r="B20" s="6"/>
      <c r="C20" s="6"/>
      <c r="D20" s="6"/>
      <c r="E20" s="7"/>
      <c r="F20" s="50" t="s">
        <v>69</v>
      </c>
      <c r="G20" s="31"/>
      <c r="H20" s="32">
        <f>SUM(H17:H19)</f>
        <v>15.110199999999999</v>
      </c>
    </row>
    <row r="21" spans="1:8" ht="17">
      <c r="A21" s="5"/>
      <c r="B21" s="6"/>
      <c r="C21" s="6"/>
      <c r="D21" s="6"/>
      <c r="E21" s="7"/>
      <c r="F21" s="6"/>
      <c r="G21" s="31"/>
      <c r="H21" s="32"/>
    </row>
    <row r="22" spans="1:8" ht="17">
      <c r="A22" s="5"/>
      <c r="B22" s="6"/>
      <c r="C22" s="6"/>
      <c r="D22" s="6"/>
      <c r="E22" s="7"/>
      <c r="F22" s="6"/>
      <c r="G22" s="31" t="s">
        <v>24</v>
      </c>
      <c r="H22" s="51">
        <f>SUM(H15+H20)</f>
        <v>106.04216</v>
      </c>
    </row>
  </sheetData>
  <mergeCells count="2">
    <mergeCell ref="A3:H3"/>
    <mergeCell ref="A16:H16"/>
  </mergeCells>
  <pageMargins left="0.25" right="0.25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Loreto Salazar</dc:creator>
  <cp:lastModifiedBy>Microsoft Office User</cp:lastModifiedBy>
  <cp:lastPrinted>2026-03-02T19:59:47Z</cp:lastPrinted>
  <dcterms:created xsi:type="dcterms:W3CDTF">2025-11-03T17:46:07Z</dcterms:created>
  <dcterms:modified xsi:type="dcterms:W3CDTF">2026-03-02T20:09:19Z</dcterms:modified>
</cp:coreProperties>
</file>